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lyapopova/Downloads/"/>
    </mc:Choice>
  </mc:AlternateContent>
  <xr:revisionPtr revIDLastSave="0" documentId="13_ncr:1_{B81C655B-9112-8242-B72E-04C224DFC09E}" xr6:coauthVersionLast="47" xr6:coauthVersionMax="47" xr10:uidLastSave="{00000000-0000-0000-0000-000000000000}"/>
  <bookViews>
    <workbookView xWindow="0" yWindow="500" windowWidth="27400" windowHeight="17500" tabRatio="500" activeTab="1" xr2:uid="{00000000-000D-0000-FFFF-FFFF00000000}"/>
  </bookViews>
  <sheets>
    <sheet name="Billing" sheetId="5" r:id="rId1"/>
    <sheet name="Пример (по контенту из проекта)" sheetId="6" r:id="rId2"/>
  </sheets>
  <definedNames>
    <definedName name="RESPONSIV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6" l="1"/>
  <c r="E26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4" i="6"/>
  <c r="E14" i="6" s="1"/>
  <c r="D13" i="6"/>
  <c r="E13" i="6" s="1"/>
  <c r="D12" i="6"/>
  <c r="E12" i="6" s="1"/>
  <c r="D29" i="6"/>
  <c r="E29" i="6" s="1"/>
  <c r="D27" i="6"/>
  <c r="E27" i="6" s="1"/>
  <c r="D25" i="6"/>
  <c r="E25" i="6" s="1"/>
  <c r="D17" i="6"/>
  <c r="E17" i="6" s="1"/>
  <c r="D15" i="6"/>
  <c r="E15" i="6" s="1"/>
  <c r="D12" i="5"/>
  <c r="D18" i="5"/>
  <c r="E18" i="5" s="1"/>
  <c r="D22" i="5"/>
  <c r="E22" i="5" s="1"/>
  <c r="D15" i="5"/>
  <c r="E15" i="5" s="1"/>
  <c r="D16" i="5"/>
  <c r="E16" i="5" s="1"/>
  <c r="E31" i="6" l="1"/>
  <c r="E32" i="6" s="1"/>
  <c r="E12" i="5"/>
  <c r="D21" i="5" l="1"/>
  <c r="E21" i="5" s="1"/>
  <c r="D19" i="5"/>
  <c r="E19" i="5" s="1"/>
  <c r="D13" i="5"/>
  <c r="E13" i="5" s="1"/>
  <c r="E24" i="5" l="1"/>
  <c r="E25" i="5" s="1"/>
</calcChain>
</file>

<file path=xl/sharedStrings.xml><?xml version="1.0" encoding="utf-8"?>
<sst xmlns="http://schemas.openxmlformats.org/spreadsheetml/2006/main" count="84" uniqueCount="55">
  <si>
    <t xml:space="preserve"> руб.</t>
  </si>
  <si>
    <t>Итого с НДС:</t>
  </si>
  <si>
    <t>Client:</t>
  </si>
  <si>
    <t>Project:</t>
  </si>
  <si>
    <t>Manager:</t>
  </si>
  <si>
    <t>Date:</t>
  </si>
  <si>
    <t>One unit price per</t>
  </si>
  <si>
    <t>Sum</t>
  </si>
  <si>
    <t>Q-ty</t>
  </si>
  <si>
    <t>Итого с учетом скидки:</t>
  </si>
  <si>
    <t>Креативный директор</t>
  </si>
  <si>
    <t>Тестировщик</t>
  </si>
  <si>
    <t>UX-дизайнер</t>
  </si>
  <si>
    <t>Копирайтер</t>
  </si>
  <si>
    <t>Контент-менеджер</t>
  </si>
  <si>
    <t>Арт директор</t>
  </si>
  <si>
    <t>Тестирование</t>
  </si>
  <si>
    <t>Project</t>
  </si>
  <si>
    <t xml:space="preserve">Дизайн  </t>
  </si>
  <si>
    <t>Разработка</t>
  </si>
  <si>
    <t>Управление и запуск</t>
  </si>
  <si>
    <t>Project Manager</t>
  </si>
  <si>
    <t>Системный аналитик</t>
  </si>
  <si>
    <t>Product Manager</t>
  </si>
  <si>
    <t>Frontend Programmer</t>
  </si>
  <si>
    <t>Тимлид команды разработки</t>
  </si>
  <si>
    <t>Архитектор</t>
  </si>
  <si>
    <t>ООО Пример</t>
  </si>
  <si>
    <t>Иванов И.</t>
  </si>
  <si>
    <t>Разработка прототипа (8 часов)</t>
  </si>
  <si>
    <t>Разработка дизайн-макета</t>
  </si>
  <si>
    <t>Дизайн ресайзов для планшета и мобильного устройства (2 ресайза по 6 часов каждый)</t>
  </si>
  <si>
    <t>Создание графических элементов и иллюстраций</t>
  </si>
  <si>
    <t>Иллюстратор</t>
  </si>
  <si>
    <t>Q-ty (количество)</t>
  </si>
  <si>
    <t>Подсказки к шаблону:</t>
  </si>
  <si>
    <r>
      <rPr>
        <b/>
        <sz val="10"/>
        <color rgb="FF000000"/>
        <rFont val="Verdana"/>
        <family val="2"/>
      </rPr>
      <t>Q-ty</t>
    </r>
    <r>
      <rPr>
        <sz val="10"/>
        <color indexed="8"/>
        <rFont val="Verdana"/>
        <family val="2"/>
      </rPr>
      <t xml:space="preserve"> — количество того, что нужно сделать. Например, количество страниц, для которых нужно разработать дизайн. </t>
    </r>
  </si>
  <si>
    <r>
      <rPr>
        <b/>
        <sz val="10"/>
        <color rgb="FF000000"/>
        <rFont val="Verdana"/>
        <family val="2"/>
      </rPr>
      <t>One unit price per</t>
    </r>
    <r>
      <rPr>
        <sz val="10"/>
        <color indexed="8"/>
        <rFont val="Verdana"/>
        <family val="2"/>
      </rPr>
      <t xml:space="preserve"> — стоимость одной единицы, например, дизайна одной страницы. Проставляется автоматически. </t>
    </r>
  </si>
  <si>
    <r>
      <rPr>
        <b/>
        <sz val="10"/>
        <color rgb="FF000000"/>
        <rFont val="Verdana"/>
        <family val="2"/>
      </rPr>
      <t>Sum</t>
    </r>
    <r>
      <rPr>
        <sz val="10"/>
        <color indexed="8"/>
        <rFont val="Verdana"/>
        <family val="2"/>
      </rPr>
      <t xml:space="preserve"> – произведение Q-ty и проставленного кол-ва часов в ячейке соответствующего исполнителя. </t>
    </r>
  </si>
  <si>
    <r>
      <rPr>
        <b/>
        <sz val="10"/>
        <color rgb="FF000000"/>
        <rFont val="Verdana"/>
        <family val="2"/>
      </rPr>
      <t>1000</t>
    </r>
    <r>
      <rPr>
        <sz val="10"/>
        <color indexed="8"/>
        <rFont val="Verdana"/>
        <family val="2"/>
      </rPr>
      <t xml:space="preserve"> — тестовая стоимость человекочаса специалиста. Для выполнения задания актуализируй ставки часа, проанализировав рынок. </t>
    </r>
  </si>
  <si>
    <t>Верстка промо страницы</t>
  </si>
  <si>
    <t>Landing-page (промо-страница)</t>
  </si>
  <si>
    <t>Разработка (фронтенд + бэкенд)</t>
  </si>
  <si>
    <t>Разработка адаптивной версии для мобильных устройств</t>
  </si>
  <si>
    <t>Логика формы обратной связи</t>
  </si>
  <si>
    <t>Настройка CMS системы</t>
  </si>
  <si>
    <t>Backend Programmer</t>
  </si>
  <si>
    <t>Разработка логики пользовательской регистрации и аутентификации</t>
  </si>
  <si>
    <t>Интеграция с CRM системой</t>
  </si>
  <si>
    <t>Разработка логики отправки уведомлений</t>
  </si>
  <si>
    <t>Кроссбраузерное и кроссплатформенное тестирование</t>
  </si>
  <si>
    <t>Отладка и исправление ошибок</t>
  </si>
  <si>
    <t>Развертывание на сервере</t>
  </si>
  <si>
    <t>Devops-инженер</t>
  </si>
  <si>
    <t>Управление проектом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</si>
</sst>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indexed="8"/>
      <name val="Verdana"/>
      <family val="2"/>
    </font>
    <font>
      <sz val="12"/>
      <color theme="0"/>
      <name val="Calibri"/>
      <family val="2"/>
      <scheme val="minor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1"/>
      <name val="Verdana"/>
      <family val="2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4"/>
      <color indexed="8"/>
      <name val="Verdana"/>
      <family val="2"/>
    </font>
    <font>
      <sz val="10"/>
      <color rgb="FF000000"/>
      <name val="Verdana"/>
      <family val="2"/>
    </font>
    <font>
      <sz val="13"/>
      <color rgb="FF242729"/>
      <name val="Verdana"/>
      <family val="2"/>
    </font>
    <font>
      <b/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 applyNumberFormat="0" applyFill="0" applyBorder="0" applyProtection="0">
      <alignment vertical="top" wrapText="1"/>
    </xf>
  </cellStyleXfs>
  <cellXfs count="75">
    <xf numFmtId="0" fontId="0" fillId="0" borderId="0" xfId="0"/>
    <xf numFmtId="1" fontId="3" fillId="0" borderId="0" xfId="2" applyNumberFormat="1" applyFont="1" applyFill="1" applyBorder="1" applyAlignment="1">
      <alignment horizontal="left" vertical="top" wrapText="1"/>
    </xf>
    <xf numFmtId="1" fontId="3" fillId="0" borderId="0" xfId="2" applyNumberFormat="1" applyFont="1" applyFill="1" applyBorder="1" applyAlignment="1">
      <alignment horizontal="center" vertical="top" wrapText="1"/>
    </xf>
    <xf numFmtId="1" fontId="4" fillId="0" borderId="0" xfId="2" applyNumberFormat="1" applyFont="1" applyFill="1" applyBorder="1" applyAlignment="1">
      <alignment vertical="top"/>
    </xf>
    <xf numFmtId="0" fontId="5" fillId="0" borderId="0" xfId="2" applyNumberFormat="1" applyFont="1" applyFill="1" applyBorder="1" applyAlignment="1">
      <alignment vertical="top"/>
    </xf>
    <xf numFmtId="0" fontId="1" fillId="0" borderId="0" xfId="2" applyFill="1" applyBorder="1">
      <alignment vertical="top" wrapText="1"/>
    </xf>
    <xf numFmtId="1" fontId="5" fillId="0" borderId="0" xfId="2" applyNumberFormat="1" applyFont="1" applyFill="1" applyBorder="1" applyAlignment="1">
      <alignment vertical="top"/>
    </xf>
    <xf numFmtId="0" fontId="6" fillId="0" borderId="5" xfId="2" applyNumberFormat="1" applyFont="1" applyFill="1" applyBorder="1" applyAlignment="1">
      <alignment vertical="top"/>
    </xf>
    <xf numFmtId="0" fontId="6" fillId="0" borderId="6" xfId="2" applyNumberFormat="1" applyFont="1" applyFill="1" applyBorder="1" applyAlignment="1">
      <alignment vertical="top"/>
    </xf>
    <xf numFmtId="1" fontId="5" fillId="0" borderId="0" xfId="2" applyNumberFormat="1" applyFont="1" applyFill="1" applyBorder="1" applyAlignment="1">
      <alignment horizontal="left" vertical="top"/>
    </xf>
    <xf numFmtId="0" fontId="6" fillId="0" borderId="1" xfId="2" applyNumberFormat="1" applyFont="1" applyFill="1" applyBorder="1" applyAlignment="1">
      <alignment vertical="top"/>
    </xf>
    <xf numFmtId="0" fontId="6" fillId="0" borderId="2" xfId="2" applyNumberFormat="1" applyFont="1" applyFill="1" applyBorder="1">
      <alignment vertical="top" wrapText="1"/>
    </xf>
    <xf numFmtId="0" fontId="6" fillId="0" borderId="2" xfId="2" applyNumberFormat="1" applyFont="1" applyFill="1" applyBorder="1" applyAlignment="1">
      <alignment vertical="top"/>
    </xf>
    <xf numFmtId="0" fontId="6" fillId="0" borderId="7" xfId="2" applyNumberFormat="1" applyFont="1" applyFill="1" applyBorder="1" applyAlignment="1">
      <alignment vertical="top"/>
    </xf>
    <xf numFmtId="14" fontId="6" fillId="0" borderId="10" xfId="2" applyNumberFormat="1" applyFont="1" applyFill="1" applyBorder="1" applyAlignment="1">
      <alignment horizontal="left" vertical="top"/>
    </xf>
    <xf numFmtId="14" fontId="5" fillId="0" borderId="0" xfId="2" applyNumberFormat="1" applyFont="1" applyFill="1" applyBorder="1" applyAlignment="1">
      <alignment horizontal="left" vertical="top"/>
    </xf>
    <xf numFmtId="1" fontId="6" fillId="0" borderId="0" xfId="2" applyNumberFormat="1" applyFont="1" applyFill="1" applyBorder="1" applyAlignment="1">
      <alignment horizontal="left" vertical="top" wrapText="1"/>
    </xf>
    <xf numFmtId="0" fontId="3" fillId="0" borderId="5" xfId="2" applyNumberFormat="1" applyFont="1" applyFill="1" applyBorder="1" applyAlignment="1">
      <alignment horizontal="center" vertical="center" wrapText="1"/>
    </xf>
    <xf numFmtId="0" fontId="3" fillId="0" borderId="11" xfId="2" applyNumberFormat="1" applyFont="1" applyFill="1" applyBorder="1" applyAlignment="1">
      <alignment horizontal="center" vertical="center" wrapText="1"/>
    </xf>
    <xf numFmtId="0" fontId="3" fillId="0" borderId="6" xfId="2" applyNumberFormat="1" applyFont="1" applyFill="1" applyBorder="1" applyAlignment="1">
      <alignment horizontal="center" vertical="center" wrapText="1"/>
    </xf>
    <xf numFmtId="0" fontId="5" fillId="0" borderId="0" xfId="2" applyFont="1" applyFill="1" applyBorder="1">
      <alignment vertical="top" wrapText="1"/>
    </xf>
    <xf numFmtId="3" fontId="5" fillId="0" borderId="12" xfId="2" applyNumberFormat="1" applyFont="1" applyFill="1" applyBorder="1" applyAlignment="1">
      <alignment horizontal="center" vertical="center"/>
    </xf>
    <xf numFmtId="1" fontId="6" fillId="0" borderId="0" xfId="2" applyNumberFormat="1" applyFont="1" applyFill="1" applyBorder="1" applyAlignment="1">
      <alignment horizontal="left" vertical="center" wrapText="1"/>
    </xf>
    <xf numFmtId="0" fontId="6" fillId="0" borderId="4" xfId="2" applyNumberFormat="1" applyFont="1" applyFill="1" applyBorder="1" applyAlignment="1">
      <alignment vertical="center" wrapText="1"/>
    </xf>
    <xf numFmtId="1" fontId="6" fillId="0" borderId="4" xfId="2" applyNumberFormat="1" applyFont="1" applyFill="1" applyBorder="1" applyAlignment="1">
      <alignment horizontal="right" vertical="center" wrapText="1"/>
    </xf>
    <xf numFmtId="1" fontId="5" fillId="0" borderId="8" xfId="2" applyNumberFormat="1" applyFont="1" applyFill="1" applyBorder="1" applyAlignment="1">
      <alignment vertical="center"/>
    </xf>
    <xf numFmtId="1" fontId="5" fillId="0" borderId="2" xfId="2" applyNumberFormat="1" applyFont="1" applyFill="1" applyBorder="1" applyAlignment="1">
      <alignment vertical="center"/>
    </xf>
    <xf numFmtId="1" fontId="5" fillId="0" borderId="0" xfId="2" applyNumberFormat="1" applyFont="1" applyFill="1" applyBorder="1" applyAlignment="1">
      <alignment vertical="center"/>
    </xf>
    <xf numFmtId="0" fontId="6" fillId="3" borderId="13" xfId="2" applyNumberFormat="1" applyFont="1" applyFill="1" applyBorder="1" applyAlignment="1">
      <alignment horizontal="left" vertical="center" wrapText="1"/>
    </xf>
    <xf numFmtId="0" fontId="5" fillId="3" borderId="3" xfId="2" applyNumberFormat="1" applyFont="1" applyFill="1" applyBorder="1" applyAlignment="1">
      <alignment horizontal="lef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0" fontId="5" fillId="3" borderId="1" xfId="2" applyNumberFormat="1" applyFont="1" applyFill="1" applyBorder="1" applyAlignment="1">
      <alignment horizontal="left" vertical="center" wrapText="1"/>
    </xf>
    <xf numFmtId="0" fontId="5" fillId="3" borderId="9" xfId="2" applyNumberFormat="1" applyFont="1" applyFill="1" applyBorder="1" applyAlignment="1">
      <alignment horizontal="left" vertical="center" wrapText="1"/>
    </xf>
    <xf numFmtId="0" fontId="5" fillId="0" borderId="0" xfId="2" applyNumberFormat="1" applyFont="1" applyAlignment="1">
      <alignment vertical="top"/>
    </xf>
    <xf numFmtId="0" fontId="7" fillId="0" borderId="0" xfId="2" applyNumberFormat="1" applyFont="1" applyFill="1" applyAlignment="1">
      <alignment vertical="top"/>
    </xf>
    <xf numFmtId="0" fontId="7" fillId="0" borderId="4" xfId="1" applyNumberFormat="1" applyFont="1" applyFill="1" applyBorder="1" applyAlignment="1">
      <alignment horizontal="left" vertical="center" wrapText="1" indent="1"/>
    </xf>
    <xf numFmtId="0" fontId="7" fillId="0" borderId="4" xfId="1" applyNumberFormat="1" applyFont="1" applyFill="1" applyBorder="1" applyAlignment="1">
      <alignment vertical="center"/>
    </xf>
    <xf numFmtId="3" fontId="5" fillId="0" borderId="4" xfId="2" applyNumberFormat="1" applyFont="1" applyFill="1" applyBorder="1" applyAlignment="1">
      <alignment horizontal="right" vertical="center"/>
    </xf>
    <xf numFmtId="3" fontId="7" fillId="0" borderId="4" xfId="1" applyNumberFormat="1" applyFont="1" applyFill="1" applyBorder="1" applyAlignment="1">
      <alignment horizontal="right" vertical="center"/>
    </xf>
    <xf numFmtId="0" fontId="7" fillId="0" borderId="4" xfId="2" applyNumberFormat="1" applyFont="1" applyFill="1" applyBorder="1" applyAlignment="1">
      <alignment horizontal="center" vertical="center"/>
    </xf>
    <xf numFmtId="0" fontId="7" fillId="0" borderId="12" xfId="2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left" vertical="center" wrapText="1" indent="1"/>
    </xf>
    <xf numFmtId="0" fontId="7" fillId="0" borderId="0" xfId="1" applyNumberFormat="1" applyFont="1" applyFill="1" applyBorder="1" applyAlignment="1">
      <alignment vertical="center"/>
    </xf>
    <xf numFmtId="3" fontId="5" fillId="0" borderId="0" xfId="2" applyNumberFormat="1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center" vertical="center"/>
    </xf>
    <xf numFmtId="1" fontId="8" fillId="0" borderId="0" xfId="2" applyNumberFormat="1" applyFont="1" applyFill="1" applyBorder="1" applyAlignment="1">
      <alignment horizontal="left" vertical="center" wrapText="1"/>
    </xf>
    <xf numFmtId="0" fontId="9" fillId="0" borderId="0" xfId="2" applyNumberFormat="1" applyFont="1" applyFill="1" applyBorder="1" applyAlignment="1">
      <alignment horizontal="right" vertical="center"/>
    </xf>
    <xf numFmtId="1" fontId="9" fillId="0" borderId="0" xfId="2" applyNumberFormat="1" applyFont="1" applyFill="1" applyBorder="1" applyAlignment="1">
      <alignment horizontal="right" vertical="center"/>
    </xf>
    <xf numFmtId="3" fontId="8" fillId="0" borderId="0" xfId="2" applyNumberFormat="1" applyFont="1" applyFill="1" applyBorder="1" applyAlignment="1">
      <alignment vertical="center"/>
    </xf>
    <xf numFmtId="4" fontId="8" fillId="0" borderId="0" xfId="2" applyNumberFormat="1" applyFont="1" applyFill="1" applyBorder="1" applyAlignment="1">
      <alignment vertical="center"/>
    </xf>
    <xf numFmtId="0" fontId="9" fillId="0" borderId="0" xfId="2" applyNumberFormat="1" applyFont="1" applyFill="1" applyBorder="1" applyAlignment="1">
      <alignment vertical="center"/>
    </xf>
    <xf numFmtId="1" fontId="9" fillId="0" borderId="0" xfId="2" applyNumberFormat="1" applyFont="1" applyFill="1" applyBorder="1" applyAlignment="1">
      <alignment vertical="center"/>
    </xf>
    <xf numFmtId="1" fontId="3" fillId="0" borderId="0" xfId="2" applyNumberFormat="1" applyFont="1" applyFill="1" applyBorder="1" applyAlignment="1">
      <alignment horizontal="left" vertical="center" wrapText="1"/>
    </xf>
    <xf numFmtId="0" fontId="10" fillId="0" borderId="0" xfId="2" applyNumberFormat="1" applyFont="1" applyFill="1" applyBorder="1" applyAlignment="1">
      <alignment horizontal="right" vertical="center"/>
    </xf>
    <xf numFmtId="1" fontId="10" fillId="0" borderId="0" xfId="2" applyNumberFormat="1" applyFont="1" applyFill="1" applyBorder="1" applyAlignment="1">
      <alignment horizontal="right" vertical="center"/>
    </xf>
    <xf numFmtId="3" fontId="10" fillId="0" borderId="0" xfId="2" applyNumberFormat="1" applyFont="1" applyFill="1" applyBorder="1" applyAlignment="1">
      <alignment vertical="center"/>
    </xf>
    <xf numFmtId="2" fontId="4" fillId="0" borderId="0" xfId="2" applyNumberFormat="1" applyFont="1" applyFill="1" applyBorder="1" applyAlignment="1">
      <alignment vertical="center"/>
    </xf>
    <xf numFmtId="1" fontId="4" fillId="0" borderId="0" xfId="2" applyNumberFormat="1" applyFont="1" applyFill="1" applyBorder="1" applyAlignment="1">
      <alignment vertical="center"/>
    </xf>
    <xf numFmtId="3" fontId="5" fillId="0" borderId="0" xfId="2" applyNumberFormat="1" applyFont="1" applyAlignment="1">
      <alignment vertical="top"/>
    </xf>
    <xf numFmtId="0" fontId="11" fillId="0" borderId="0" xfId="0" applyFont="1"/>
    <xf numFmtId="0" fontId="12" fillId="0" borderId="0" xfId="0" applyFont="1"/>
    <xf numFmtId="3" fontId="5" fillId="0" borderId="4" xfId="2" applyNumberFormat="1" applyFont="1" applyFill="1" applyBorder="1" applyAlignment="1">
      <alignment horizontal="center" vertical="center"/>
    </xf>
    <xf numFmtId="0" fontId="5" fillId="0" borderId="0" xfId="2" applyNumberFormat="1" applyFont="1" applyFill="1" applyBorder="1" applyAlignment="1">
      <alignment horizontal="left" vertical="top"/>
    </xf>
    <xf numFmtId="1" fontId="5" fillId="0" borderId="0" xfId="2" applyNumberFormat="1" applyFont="1" applyFill="1" applyBorder="1" applyAlignment="1">
      <alignment horizontal="left" vertical="top"/>
    </xf>
    <xf numFmtId="0" fontId="5" fillId="0" borderId="0" xfId="2" applyNumberFormat="1" applyFont="1" applyFill="1" applyBorder="1" applyAlignment="1">
      <alignment vertical="top"/>
    </xf>
    <xf numFmtId="1" fontId="5" fillId="0" borderId="0" xfId="2" applyNumberFormat="1" applyFont="1" applyFill="1" applyBorder="1" applyAlignment="1">
      <alignment vertical="top"/>
    </xf>
    <xf numFmtId="14" fontId="5" fillId="0" borderId="0" xfId="2" applyNumberFormat="1" applyFont="1" applyFill="1" applyBorder="1" applyAlignment="1">
      <alignment horizontal="left" vertical="top"/>
    </xf>
    <xf numFmtId="1" fontId="4" fillId="0" borderId="0" xfId="2" applyNumberFormat="1" applyFont="1" applyFill="1" applyBorder="1" applyAlignment="1">
      <alignment vertical="top" wrapText="1"/>
    </xf>
    <xf numFmtId="1" fontId="5" fillId="0" borderId="0" xfId="2" applyNumberFormat="1" applyFont="1" applyFill="1" applyBorder="1" applyAlignment="1">
      <alignment vertical="top" wrapText="1"/>
    </xf>
    <xf numFmtId="0" fontId="6" fillId="0" borderId="4" xfId="2" applyNumberFormat="1" applyFont="1" applyFill="1" applyBorder="1" applyAlignment="1">
      <alignment vertical="top"/>
    </xf>
    <xf numFmtId="0" fontId="6" fillId="0" borderId="4" xfId="2" applyNumberFormat="1" applyFont="1" applyFill="1" applyBorder="1">
      <alignment vertical="top" wrapText="1"/>
    </xf>
    <xf numFmtId="14" fontId="6" fillId="0" borderId="4" xfId="2" applyNumberFormat="1" applyFont="1" applyFill="1" applyBorder="1" applyAlignment="1">
      <alignment horizontal="left" vertical="top"/>
    </xf>
    <xf numFmtId="1" fontId="13" fillId="0" borderId="4" xfId="2" applyNumberFormat="1" applyFont="1" applyFill="1" applyBorder="1" applyAlignment="1">
      <alignment vertical="top"/>
    </xf>
    <xf numFmtId="1" fontId="4" fillId="0" borderId="4" xfId="2" applyNumberFormat="1" applyFont="1" applyFill="1" applyBorder="1" applyAlignment="1">
      <alignment vertical="top" wrapText="1"/>
    </xf>
  </cellXfs>
  <cellStyles count="3">
    <cellStyle name="Акцент3" xfId="1" builtinId="37"/>
    <cellStyle name="Обычный" xfId="0" builtinId="0"/>
    <cellStyle name="Normal 2" xfId="2" xr:uid="{00000000-0005-0000-0000-000002000000}"/>
  </cellStyles>
  <dxfs count="23"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color rgb="FF9C0006"/>
      </font>
    </dxf>
    <dxf>
      <font>
        <b/>
        <i val="0"/>
        <color auto="1"/>
      </font>
      <fill>
        <patternFill patternType="none">
          <bgColor indexed="65"/>
        </patternFill>
      </fill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color rgb="FF9C0006"/>
      </font>
    </dxf>
    <dxf>
      <font>
        <b/>
        <i val="0"/>
        <color auto="1"/>
      </font>
      <fill>
        <patternFill patternType="none">
          <bgColor indexed="65"/>
        </patternFill>
      </fill>
    </dxf>
    <dxf>
      <font>
        <b/>
        <i val="0"/>
        <color theme="1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DDC"/>
      <color rgb="FF663B8F"/>
      <color rgb="FFF1F0FA"/>
      <color rgb="FF1B74BD"/>
      <color rgb="FFC2CA02"/>
      <color rgb="FF522363"/>
      <color rgb="FFF52C74"/>
      <color rgb="FF060538"/>
      <color rgb="FF4DB5DF"/>
      <color rgb="FFD700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6D9A-9FE5-3543-B829-42CAB4AA6F60}">
  <sheetPr>
    <pageSetUpPr fitToPage="1"/>
  </sheetPr>
  <dimension ref="A1:IS32"/>
  <sheetViews>
    <sheetView showGridLines="0" topLeftCell="E5" zoomScale="106" zoomScaleNormal="115" workbookViewId="0">
      <selection activeCell="O9" sqref="O9"/>
    </sheetView>
  </sheetViews>
  <sheetFormatPr baseColWidth="10" defaultColWidth="8.83203125" defaultRowHeight="14" customHeight="1" x14ac:dyDescent="0.2"/>
  <cols>
    <col min="1" max="1" width="8.83203125" style="33"/>
    <col min="2" max="2" width="45.33203125" style="33" customWidth="1"/>
    <col min="3" max="3" width="9.83203125" style="33" customWidth="1"/>
    <col min="4" max="4" width="12.1640625" style="33" customWidth="1"/>
    <col min="5" max="5" width="25.5" style="33" customWidth="1"/>
    <col min="6" max="19" width="12.83203125" style="33" customWidth="1"/>
    <col min="20" max="260" width="11.1640625" style="33" customWidth="1"/>
    <col min="261" max="16384" width="8.83203125" style="33"/>
  </cols>
  <sheetData>
    <row r="1" spans="1:253" s="5" customFormat="1" ht="17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</row>
    <row r="2" spans="1:253" s="5" customFormat="1" ht="17" customHeight="1" x14ac:dyDescent="0.2">
      <c r="A2" s="1"/>
      <c r="B2" s="73" t="s">
        <v>35</v>
      </c>
      <c r="C2" s="6"/>
      <c r="D2" s="70" t="s">
        <v>2</v>
      </c>
      <c r="E2" s="70"/>
      <c r="F2" s="63"/>
      <c r="G2" s="64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</row>
    <row r="3" spans="1:253" s="5" customFormat="1" ht="42" x14ac:dyDescent="0.2">
      <c r="A3" s="1"/>
      <c r="B3" s="74" t="s">
        <v>36</v>
      </c>
      <c r="C3" s="6"/>
      <c r="D3" s="70" t="s">
        <v>3</v>
      </c>
      <c r="E3" s="71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</row>
    <row r="4" spans="1:253" s="5" customFormat="1" ht="45" customHeight="1" x14ac:dyDescent="0.2">
      <c r="A4" s="1"/>
      <c r="B4" s="74" t="s">
        <v>37</v>
      </c>
      <c r="C4" s="6"/>
      <c r="D4" s="70" t="s">
        <v>4</v>
      </c>
      <c r="E4" s="70"/>
      <c r="F4" s="65"/>
      <c r="G4" s="6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3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</row>
    <row r="5" spans="1:253" s="5" customFormat="1" ht="45" customHeight="1" x14ac:dyDescent="0.2">
      <c r="A5" s="1"/>
      <c r="B5" s="74" t="s">
        <v>38</v>
      </c>
      <c r="C5" s="6"/>
      <c r="D5" s="70" t="s">
        <v>5</v>
      </c>
      <c r="E5" s="72"/>
      <c r="F5" s="63"/>
      <c r="G5" s="67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</row>
    <row r="6" spans="1:253" s="5" customFormat="1" ht="57" customHeight="1" x14ac:dyDescent="0.2">
      <c r="A6" s="1"/>
      <c r="B6" s="74" t="s">
        <v>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</row>
    <row r="7" spans="1:253" s="5" customFormat="1" ht="17" customHeight="1" x14ac:dyDescent="0.2">
      <c r="A7" s="1"/>
      <c r="B7" s="6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</row>
    <row r="8" spans="1:253" s="20" customFormat="1" ht="83" customHeight="1" x14ac:dyDescent="0.2">
      <c r="A8" s="16"/>
      <c r="B8" s="69"/>
      <c r="C8" s="6"/>
      <c r="D8" s="6"/>
      <c r="E8" s="6"/>
      <c r="F8" s="17" t="s">
        <v>10</v>
      </c>
      <c r="G8" s="18" t="s">
        <v>15</v>
      </c>
      <c r="H8" s="18" t="s">
        <v>12</v>
      </c>
      <c r="I8" s="18" t="s">
        <v>46</v>
      </c>
      <c r="J8" s="18" t="s">
        <v>25</v>
      </c>
      <c r="K8" s="18" t="s">
        <v>24</v>
      </c>
      <c r="L8" s="18" t="s">
        <v>26</v>
      </c>
      <c r="M8" s="18" t="s">
        <v>22</v>
      </c>
      <c r="N8" s="18" t="s">
        <v>11</v>
      </c>
      <c r="O8" s="18" t="s">
        <v>53</v>
      </c>
      <c r="P8" s="18" t="s">
        <v>23</v>
      </c>
      <c r="Q8" s="18" t="s">
        <v>21</v>
      </c>
      <c r="R8" s="18" t="s">
        <v>14</v>
      </c>
      <c r="S8" s="19" t="s">
        <v>13</v>
      </c>
      <c r="T8" s="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</row>
    <row r="9" spans="1:253" s="20" customFormat="1" ht="17" customHeight="1" x14ac:dyDescent="0.2">
      <c r="A9" s="16"/>
      <c r="B9" s="6"/>
      <c r="C9" s="6"/>
      <c r="D9" s="9"/>
      <c r="E9" s="9"/>
      <c r="F9" s="21">
        <v>1000</v>
      </c>
      <c r="G9" s="21">
        <v>1000</v>
      </c>
      <c r="H9" s="21">
        <v>1000</v>
      </c>
      <c r="I9" s="21">
        <v>1000</v>
      </c>
      <c r="J9" s="21">
        <v>1000</v>
      </c>
      <c r="K9" s="21">
        <v>1000</v>
      </c>
      <c r="L9" s="21">
        <v>1000</v>
      </c>
      <c r="M9" s="21">
        <v>1000</v>
      </c>
      <c r="N9" s="21">
        <v>1000</v>
      </c>
      <c r="O9" s="21">
        <v>1000</v>
      </c>
      <c r="P9" s="21">
        <v>1000</v>
      </c>
      <c r="Q9" s="21">
        <v>1000</v>
      </c>
      <c r="R9" s="21">
        <v>1000</v>
      </c>
      <c r="S9" s="62">
        <v>1000</v>
      </c>
      <c r="T9" s="6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</row>
    <row r="10" spans="1:253" s="20" customFormat="1" ht="45" x14ac:dyDescent="0.2">
      <c r="A10" s="22"/>
      <c r="B10" s="23" t="s">
        <v>17</v>
      </c>
      <c r="C10" s="24" t="s">
        <v>34</v>
      </c>
      <c r="D10" s="24" t="s">
        <v>6</v>
      </c>
      <c r="E10" s="24" t="s">
        <v>7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  <c r="T10" s="27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</row>
    <row r="11" spans="1:253" s="20" customFormat="1" ht="17" customHeight="1" x14ac:dyDescent="0.2">
      <c r="A11" s="22"/>
      <c r="B11" s="28" t="s">
        <v>18</v>
      </c>
      <c r="C11" s="29"/>
      <c r="D11" s="30"/>
      <c r="E11" s="29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2"/>
      <c r="T11" s="27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</row>
    <row r="12" spans="1:253" s="34" customFormat="1" x14ac:dyDescent="0.2">
      <c r="B12" s="35"/>
      <c r="C12" s="36">
        <v>1</v>
      </c>
      <c r="D12" s="37">
        <f t="shared" ref="D12:D13" si="0">SUMPRODUCT($F$9:$S$9,F12:S12)</f>
        <v>0</v>
      </c>
      <c r="E12" s="38">
        <f t="shared" ref="E12:E13" si="1">D12*C12</f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40">
        <v>0</v>
      </c>
      <c r="S12" s="39">
        <v>0</v>
      </c>
    </row>
    <row r="13" spans="1:253" s="34" customFormat="1" x14ac:dyDescent="0.2">
      <c r="B13" s="35"/>
      <c r="C13" s="36">
        <v>1</v>
      </c>
      <c r="D13" s="37">
        <f t="shared" si="0"/>
        <v>0</v>
      </c>
      <c r="E13" s="38">
        <f t="shared" si="1"/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40">
        <v>0</v>
      </c>
      <c r="S13" s="39">
        <v>0</v>
      </c>
    </row>
    <row r="14" spans="1:253" s="20" customFormat="1" ht="17" customHeight="1" x14ac:dyDescent="0.2">
      <c r="A14" s="22"/>
      <c r="B14" s="28" t="s">
        <v>19</v>
      </c>
      <c r="C14" s="29"/>
      <c r="D14" s="30"/>
      <c r="E14" s="29"/>
      <c r="F14" s="3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2"/>
      <c r="T14" s="27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</row>
    <row r="15" spans="1:253" s="34" customFormat="1" x14ac:dyDescent="0.2">
      <c r="B15" s="35"/>
      <c r="C15" s="36">
        <v>1</v>
      </c>
      <c r="D15" s="37">
        <f>SUMPRODUCT($F$9:$S$9,F15:S15)</f>
        <v>0</v>
      </c>
      <c r="E15" s="38">
        <f>D15*C15</f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40">
        <v>0</v>
      </c>
      <c r="S15" s="39">
        <v>0</v>
      </c>
    </row>
    <row r="16" spans="1:253" s="34" customFormat="1" x14ac:dyDescent="0.2">
      <c r="B16" s="35"/>
      <c r="C16" s="36">
        <v>1</v>
      </c>
      <c r="D16" s="37">
        <f>SUMPRODUCT($F$9:$S$9,F16:S16)</f>
        <v>0</v>
      </c>
      <c r="E16" s="38">
        <f>D16*C16</f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40">
        <v>0</v>
      </c>
      <c r="S16" s="39">
        <v>0</v>
      </c>
    </row>
    <row r="17" spans="1:253" s="20" customFormat="1" ht="17" customHeight="1" x14ac:dyDescent="0.2">
      <c r="A17" s="22"/>
      <c r="B17" s="28" t="s">
        <v>16</v>
      </c>
      <c r="C17" s="29"/>
      <c r="D17" s="30"/>
      <c r="E17" s="29"/>
      <c r="F17" s="3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2"/>
      <c r="T17" s="27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</row>
    <row r="18" spans="1:253" s="34" customFormat="1" x14ac:dyDescent="0.2">
      <c r="B18" s="35"/>
      <c r="C18" s="36">
        <v>1</v>
      </c>
      <c r="D18" s="37">
        <f>SUMPRODUCT($F$9:$S$9,F18:S18)</f>
        <v>0</v>
      </c>
      <c r="E18" s="38">
        <f>D18*C18</f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40">
        <v>0</v>
      </c>
      <c r="S18" s="39">
        <v>0</v>
      </c>
    </row>
    <row r="19" spans="1:253" s="34" customFormat="1" x14ac:dyDescent="0.2">
      <c r="B19" s="35"/>
      <c r="C19" s="36">
        <v>1</v>
      </c>
      <c r="D19" s="37">
        <f>SUMPRODUCT($F$9:$S$9,F19:S19)</f>
        <v>0</v>
      </c>
      <c r="E19" s="38">
        <f>D19*C19</f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40">
        <v>0</v>
      </c>
      <c r="S19" s="39">
        <v>0</v>
      </c>
    </row>
    <row r="20" spans="1:253" s="20" customFormat="1" ht="17" customHeight="1" x14ac:dyDescent="0.2">
      <c r="A20" s="22"/>
      <c r="B20" s="28" t="s">
        <v>20</v>
      </c>
      <c r="C20" s="29"/>
      <c r="D20" s="30"/>
      <c r="E20" s="29"/>
      <c r="F20" s="31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2"/>
      <c r="T20" s="27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</row>
    <row r="21" spans="1:253" s="34" customFormat="1" x14ac:dyDescent="0.2">
      <c r="B21" s="35"/>
      <c r="C21" s="36">
        <v>1</v>
      </c>
      <c r="D21" s="37">
        <f>SUMPRODUCT($F$9:$S$9,F21:S21)</f>
        <v>0</v>
      </c>
      <c r="E21" s="38">
        <f>D21*C21</f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40">
        <v>0</v>
      </c>
      <c r="S21" s="39">
        <v>0</v>
      </c>
    </row>
    <row r="22" spans="1:253" s="34" customFormat="1" x14ac:dyDescent="0.2">
      <c r="B22" s="35"/>
      <c r="C22" s="36">
        <v>1</v>
      </c>
      <c r="D22" s="37">
        <f>SUMPRODUCT($F$9:$S$9,F22:S22)</f>
        <v>0</v>
      </c>
      <c r="E22" s="38">
        <f>D22*C22</f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40">
        <v>0</v>
      </c>
      <c r="S22" s="39">
        <v>0</v>
      </c>
    </row>
    <row r="23" spans="1:253" s="34" customFormat="1" x14ac:dyDescent="0.2">
      <c r="B23" s="41"/>
      <c r="C23" s="42"/>
      <c r="D23" s="43"/>
      <c r="E23" s="44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</row>
    <row r="24" spans="1:253" s="5" customFormat="1" ht="20" x14ac:dyDescent="0.2">
      <c r="A24" s="46"/>
      <c r="B24" s="47" t="s">
        <v>9</v>
      </c>
      <c r="C24" s="48"/>
      <c r="D24" s="49"/>
      <c r="E24" s="50">
        <f>SUM(E12:E21)</f>
        <v>0</v>
      </c>
      <c r="F24" s="51" t="s">
        <v>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</row>
    <row r="25" spans="1:253" s="5" customFormat="1" ht="20" x14ac:dyDescent="0.2">
      <c r="A25" s="53"/>
      <c r="B25" s="54" t="s">
        <v>1</v>
      </c>
      <c r="C25" s="55"/>
      <c r="D25" s="56"/>
      <c r="E25" s="50">
        <f>E24*1.2</f>
        <v>0</v>
      </c>
      <c r="F25" s="51" t="s">
        <v>0</v>
      </c>
      <c r="G25" s="57"/>
      <c r="H25" s="58"/>
      <c r="I25" s="52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</row>
    <row r="26" spans="1:253" ht="14" customHeight="1" x14ac:dyDescent="0.2">
      <c r="E26" s="59"/>
      <c r="G26" s="59"/>
    </row>
    <row r="27" spans="1:253" ht="14" customHeight="1" x14ac:dyDescent="0.15">
      <c r="B27" s="60"/>
    </row>
    <row r="28" spans="1:253" ht="14" customHeight="1" x14ac:dyDescent="0.15">
      <c r="B28" s="60"/>
    </row>
    <row r="29" spans="1:253" ht="14" customHeight="1" x14ac:dyDescent="0.2">
      <c r="B29" s="61"/>
      <c r="E29" s="59"/>
    </row>
    <row r="31" spans="1:253" ht="14" customHeight="1" x14ac:dyDescent="0.2">
      <c r="E31" s="59"/>
      <c r="F31" s="59"/>
    </row>
    <row r="32" spans="1:253" ht="14" customHeight="1" x14ac:dyDescent="0.2">
      <c r="G32" s="59"/>
    </row>
  </sheetData>
  <mergeCells count="3">
    <mergeCell ref="F2:G2"/>
    <mergeCell ref="F4:G4"/>
    <mergeCell ref="F5:G5"/>
  </mergeCells>
  <conditionalFormatting sqref="F21:R26">
    <cfRule type="cellIs" dxfId="22" priority="165" operator="greaterThan">
      <formula>0</formula>
    </cfRule>
  </conditionalFormatting>
  <conditionalFormatting sqref="F1:S65538">
    <cfRule type="cellIs" dxfId="21" priority="1" stopIfTrue="1" operator="greaterThan">
      <formula>0</formula>
    </cfRule>
    <cfRule type="cellIs" dxfId="20" priority="2" stopIfTrue="1" operator="equal">
      <formula>0</formula>
    </cfRule>
  </conditionalFormatting>
  <conditionalFormatting sqref="F12:S13">
    <cfRule type="cellIs" dxfId="19" priority="133" operator="greaterThan">
      <formula>0</formula>
    </cfRule>
  </conditionalFormatting>
  <conditionalFormatting sqref="F15:S16">
    <cfRule type="cellIs" dxfId="18" priority="28" operator="greaterThan">
      <formula>0</formula>
    </cfRule>
  </conditionalFormatting>
  <conditionalFormatting sqref="F18:S19">
    <cfRule type="cellIs" dxfId="17" priority="238" operator="greaterThan">
      <formula>0</formula>
    </cfRule>
  </conditionalFormatting>
  <conditionalFormatting sqref="S21:S23">
    <cfRule type="cellIs" dxfId="16" priority="174" operator="greaterThan">
      <formula>0</formula>
    </cfRule>
  </conditionalFormatting>
  <conditionalFormatting sqref="S24:T26">
    <cfRule type="cellIs" dxfId="15" priority="492" operator="greaterThan">
      <formula>0</formula>
    </cfRule>
  </conditionalFormatting>
  <conditionalFormatting sqref="T11">
    <cfRule type="cellIs" dxfId="14" priority="453" operator="greaterThan">
      <formula>0</formula>
    </cfRule>
  </conditionalFormatting>
  <conditionalFormatting sqref="T14">
    <cfRule type="cellIs" dxfId="13" priority="66" operator="greaterThan">
      <formula>0</formula>
    </cfRule>
  </conditionalFormatting>
  <conditionalFormatting sqref="T17">
    <cfRule type="cellIs" dxfId="12" priority="260" operator="greaterThan">
      <formula>0</formula>
    </cfRule>
  </conditionalFormatting>
  <conditionalFormatting sqref="T20">
    <cfRule type="cellIs" dxfId="11" priority="9" operator="greaterThan">
      <formula>0</formula>
    </cfRule>
  </conditionalFormatting>
  <pageMargins left="0.7" right="0.7" top="0.75" bottom="0.75" header="0.3" footer="0.3"/>
  <pageSetup paperSize="9" scale="4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B0FE-5D35-C64A-9408-0E24DF733515}">
  <dimension ref="A1:IT39"/>
  <sheetViews>
    <sheetView showGridLines="0" tabSelected="1" workbookViewId="0">
      <selection activeCell="R30" sqref="R30"/>
    </sheetView>
  </sheetViews>
  <sheetFormatPr baseColWidth="10" defaultColWidth="8.83203125" defaultRowHeight="14" x14ac:dyDescent="0.2"/>
  <cols>
    <col min="1" max="1" width="8.83203125" style="33"/>
    <col min="2" max="2" width="45.33203125" style="33" customWidth="1"/>
    <col min="3" max="3" width="9.83203125" style="33" customWidth="1"/>
    <col min="4" max="4" width="12.1640625" style="33" customWidth="1"/>
    <col min="5" max="5" width="25.5" style="33" customWidth="1"/>
    <col min="6" max="20" width="12.83203125" style="33" customWidth="1"/>
    <col min="21" max="261" width="11.1640625" style="33" customWidth="1"/>
    <col min="262" max="16384" width="8.83203125" style="33"/>
  </cols>
  <sheetData>
    <row r="1" spans="1:254" s="5" customFormat="1" ht="17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 spans="1:254" s="5" customFormat="1" ht="17" customHeight="1" x14ac:dyDescent="0.2">
      <c r="A2" s="1"/>
      <c r="B2" s="3"/>
      <c r="C2" s="6"/>
      <c r="D2" s="7" t="s">
        <v>2</v>
      </c>
      <c r="E2" s="8" t="s">
        <v>27</v>
      </c>
      <c r="F2" s="63"/>
      <c r="G2" s="64"/>
      <c r="H2" s="9"/>
      <c r="I2" s="9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 spans="1:254" s="5" customFormat="1" ht="30" x14ac:dyDescent="0.2">
      <c r="A3" s="1"/>
      <c r="B3" s="3"/>
      <c r="C3" s="6"/>
      <c r="D3" s="10" t="s">
        <v>3</v>
      </c>
      <c r="E3" s="11" t="s">
        <v>41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 spans="1:254" s="5" customFormat="1" ht="17" customHeight="1" x14ac:dyDescent="0.2">
      <c r="A4" s="1"/>
      <c r="B4" s="3"/>
      <c r="C4" s="6"/>
      <c r="D4" s="10" t="s">
        <v>4</v>
      </c>
      <c r="E4" s="12" t="s">
        <v>28</v>
      </c>
      <c r="F4" s="65"/>
      <c r="G4" s="6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 spans="1:254" s="5" customFormat="1" ht="17" customHeight="1" x14ac:dyDescent="0.2">
      <c r="A5" s="1"/>
      <c r="B5" s="3"/>
      <c r="C5" s="6"/>
      <c r="D5" s="13" t="s">
        <v>5</v>
      </c>
      <c r="E5" s="14">
        <v>45809</v>
      </c>
      <c r="F5" s="63"/>
      <c r="G5" s="67"/>
      <c r="H5" s="15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 spans="1:254" s="5" customFormat="1" ht="17" customHeight="1" x14ac:dyDescent="0.2">
      <c r="A6" s="1"/>
      <c r="B6" s="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3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</row>
    <row r="7" spans="1:254" s="5" customFormat="1" ht="17" customHeight="1" x14ac:dyDescent="0.2">
      <c r="A7" s="1"/>
      <c r="B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</row>
    <row r="8" spans="1:254" s="20" customFormat="1" ht="83" customHeight="1" x14ac:dyDescent="0.2">
      <c r="A8" s="16"/>
      <c r="B8" s="6"/>
      <c r="C8" s="6"/>
      <c r="D8" s="6"/>
      <c r="E8" s="6"/>
      <c r="F8" s="17" t="s">
        <v>10</v>
      </c>
      <c r="G8" s="18" t="s">
        <v>15</v>
      </c>
      <c r="H8" s="18" t="s">
        <v>33</v>
      </c>
      <c r="I8" s="18" t="s">
        <v>12</v>
      </c>
      <c r="J8" s="18" t="s">
        <v>46</v>
      </c>
      <c r="K8" s="18" t="s">
        <v>25</v>
      </c>
      <c r="L8" s="18" t="s">
        <v>24</v>
      </c>
      <c r="M8" s="18" t="s">
        <v>26</v>
      </c>
      <c r="N8" s="18" t="s">
        <v>22</v>
      </c>
      <c r="O8" s="18" t="s">
        <v>11</v>
      </c>
      <c r="P8" s="18" t="s">
        <v>53</v>
      </c>
      <c r="Q8" s="18" t="s">
        <v>23</v>
      </c>
      <c r="R8" s="18" t="s">
        <v>21</v>
      </c>
      <c r="S8" s="18" t="s">
        <v>14</v>
      </c>
      <c r="T8" s="19" t="s">
        <v>13</v>
      </c>
      <c r="U8" s="6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</row>
    <row r="9" spans="1:254" s="20" customFormat="1" ht="17" customHeight="1" x14ac:dyDescent="0.2">
      <c r="A9" s="16"/>
      <c r="B9" s="6"/>
      <c r="C9" s="6"/>
      <c r="D9" s="9"/>
      <c r="E9" s="9"/>
      <c r="F9" s="21">
        <v>1000</v>
      </c>
      <c r="G9" s="21">
        <v>1000</v>
      </c>
      <c r="H9" s="21">
        <v>1000</v>
      </c>
      <c r="I9" s="21">
        <v>1000</v>
      </c>
      <c r="J9" s="21">
        <v>1000</v>
      </c>
      <c r="K9" s="21">
        <v>1000</v>
      </c>
      <c r="L9" s="21">
        <v>1000</v>
      </c>
      <c r="M9" s="21">
        <v>1000</v>
      </c>
      <c r="N9" s="21">
        <v>1000</v>
      </c>
      <c r="O9" s="21">
        <v>1000</v>
      </c>
      <c r="P9" s="21">
        <v>1000</v>
      </c>
      <c r="Q9" s="21">
        <v>1000</v>
      </c>
      <c r="R9" s="21">
        <v>1000</v>
      </c>
      <c r="S9" s="21">
        <v>1000</v>
      </c>
      <c r="T9" s="62">
        <v>1000</v>
      </c>
      <c r="U9" s="6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  <row r="10" spans="1:254" s="20" customFormat="1" ht="30" x14ac:dyDescent="0.2">
      <c r="A10" s="22"/>
      <c r="B10" s="23" t="s">
        <v>17</v>
      </c>
      <c r="C10" s="24" t="s">
        <v>8</v>
      </c>
      <c r="D10" s="24" t="s">
        <v>6</v>
      </c>
      <c r="E10" s="24" t="s">
        <v>7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  <c r="U10" s="2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</row>
    <row r="11" spans="1:254" s="20" customFormat="1" ht="17" customHeight="1" x14ac:dyDescent="0.2">
      <c r="A11" s="22"/>
      <c r="B11" s="28" t="s">
        <v>18</v>
      </c>
      <c r="C11" s="29"/>
      <c r="D11" s="30"/>
      <c r="E11" s="29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2"/>
      <c r="U11" s="27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</row>
    <row r="12" spans="1:254" s="34" customFormat="1" ht="15" x14ac:dyDescent="0.2">
      <c r="B12" s="35" t="s">
        <v>29</v>
      </c>
      <c r="C12" s="36">
        <v>1</v>
      </c>
      <c r="D12" s="37">
        <f t="shared" ref="D12:D15" si="0">SUMPRODUCT($F$9:$T$9,F12:T12)</f>
        <v>8000</v>
      </c>
      <c r="E12" s="38">
        <f t="shared" ref="E12:E15" si="1">D12*C12</f>
        <v>8000</v>
      </c>
      <c r="F12" s="39">
        <v>0</v>
      </c>
      <c r="G12" s="39">
        <v>0</v>
      </c>
      <c r="H12" s="39">
        <v>0</v>
      </c>
      <c r="I12" s="39">
        <v>8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40">
        <v>0</v>
      </c>
      <c r="T12" s="39">
        <v>0</v>
      </c>
    </row>
    <row r="13" spans="1:254" s="34" customFormat="1" ht="15" x14ac:dyDescent="0.2">
      <c r="B13" s="35" t="s">
        <v>30</v>
      </c>
      <c r="C13" s="36">
        <v>1</v>
      </c>
      <c r="D13" s="37">
        <f t="shared" ref="D13:D14" si="2">SUMPRODUCT($F$9:$T$9,F13:T13)</f>
        <v>10000</v>
      </c>
      <c r="E13" s="38">
        <f t="shared" ref="E13:E14" si="3">D13*C13</f>
        <v>10000</v>
      </c>
      <c r="F13" s="39">
        <v>0</v>
      </c>
      <c r="G13" s="39">
        <v>0</v>
      </c>
      <c r="H13" s="39">
        <v>0</v>
      </c>
      <c r="I13" s="39">
        <v>10</v>
      </c>
      <c r="J13" s="39"/>
      <c r="K13" s="39"/>
      <c r="L13" s="39"/>
      <c r="M13" s="39"/>
      <c r="N13" s="39"/>
      <c r="O13" s="39"/>
      <c r="P13" s="39"/>
      <c r="Q13" s="39"/>
      <c r="R13" s="39"/>
      <c r="S13" s="40"/>
      <c r="T13" s="39"/>
    </row>
    <row r="14" spans="1:254" s="34" customFormat="1" ht="45" x14ac:dyDescent="0.2">
      <c r="B14" s="35" t="s">
        <v>31</v>
      </c>
      <c r="C14" s="36">
        <v>2</v>
      </c>
      <c r="D14" s="37">
        <f t="shared" si="2"/>
        <v>6000</v>
      </c>
      <c r="E14" s="38">
        <f t="shared" si="3"/>
        <v>12000</v>
      </c>
      <c r="F14" s="39">
        <v>0</v>
      </c>
      <c r="G14" s="39">
        <v>0</v>
      </c>
      <c r="H14" s="39">
        <v>0</v>
      </c>
      <c r="I14" s="39">
        <v>6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40">
        <v>0</v>
      </c>
      <c r="T14" s="39">
        <v>0</v>
      </c>
    </row>
    <row r="15" spans="1:254" s="34" customFormat="1" ht="30" x14ac:dyDescent="0.2">
      <c r="B15" s="35" t="s">
        <v>32</v>
      </c>
      <c r="C15" s="36">
        <v>1</v>
      </c>
      <c r="D15" s="37">
        <f t="shared" si="0"/>
        <v>10000</v>
      </c>
      <c r="E15" s="38">
        <f t="shared" si="1"/>
        <v>10000</v>
      </c>
      <c r="F15" s="39">
        <v>0</v>
      </c>
      <c r="G15" s="39">
        <v>0</v>
      </c>
      <c r="H15" s="39">
        <v>10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40">
        <v>0</v>
      </c>
      <c r="T15" s="39">
        <v>0</v>
      </c>
    </row>
    <row r="16" spans="1:254" s="20" customFormat="1" ht="17" customHeight="1" x14ac:dyDescent="0.2">
      <c r="A16" s="22"/>
      <c r="B16" s="28" t="s">
        <v>42</v>
      </c>
      <c r="C16" s="29"/>
      <c r="D16" s="30"/>
      <c r="E16" s="29"/>
      <c r="F16" s="3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2"/>
      <c r="U16" s="27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</row>
    <row r="17" spans="1:254" s="34" customFormat="1" ht="15" x14ac:dyDescent="0.2">
      <c r="B17" s="35" t="s">
        <v>40</v>
      </c>
      <c r="C17" s="36">
        <v>1</v>
      </c>
      <c r="D17" s="37">
        <f>SUMPRODUCT($F$9:$T$9,F17:T17)</f>
        <v>24000</v>
      </c>
      <c r="E17" s="38">
        <f>D17*C17</f>
        <v>24000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24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40">
        <v>0</v>
      </c>
      <c r="T17" s="39">
        <v>0</v>
      </c>
    </row>
    <row r="18" spans="1:254" s="34" customFormat="1" ht="30" x14ac:dyDescent="0.2">
      <c r="B18" s="35" t="s">
        <v>43</v>
      </c>
      <c r="C18" s="36">
        <v>1</v>
      </c>
      <c r="D18" s="37">
        <f>SUMPRODUCT($F$9:$T$9,F18:T18)</f>
        <v>16000</v>
      </c>
      <c r="E18" s="38">
        <f>D18*C18</f>
        <v>16000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16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40">
        <v>0</v>
      </c>
      <c r="T18" s="39">
        <v>0</v>
      </c>
    </row>
    <row r="19" spans="1:254" s="34" customFormat="1" ht="15" x14ac:dyDescent="0.2">
      <c r="B19" s="35" t="s">
        <v>44</v>
      </c>
      <c r="C19" s="36">
        <v>1</v>
      </c>
      <c r="D19" s="37">
        <f>SUMPRODUCT($F$9:$T$9,F19:T19)</f>
        <v>16000</v>
      </c>
      <c r="E19" s="38">
        <f>D19*C19</f>
        <v>16000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16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40">
        <v>0</v>
      </c>
      <c r="T19" s="39">
        <v>0</v>
      </c>
    </row>
    <row r="20" spans="1:254" s="34" customFormat="1" ht="15" x14ac:dyDescent="0.2">
      <c r="B20" s="35" t="s">
        <v>45</v>
      </c>
      <c r="C20" s="36">
        <v>1</v>
      </c>
      <c r="D20" s="37">
        <f>SUMPRODUCT($F$9:$T$9,F20:T20)</f>
        <v>40000</v>
      </c>
      <c r="E20" s="38">
        <f>D20*C20</f>
        <v>40000</v>
      </c>
      <c r="F20" s="39">
        <v>0</v>
      </c>
      <c r="G20" s="39">
        <v>0</v>
      </c>
      <c r="H20" s="39">
        <v>0</v>
      </c>
      <c r="I20" s="39">
        <v>0</v>
      </c>
      <c r="J20" s="39">
        <v>40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40">
        <v>0</v>
      </c>
      <c r="T20" s="39">
        <v>0</v>
      </c>
    </row>
    <row r="21" spans="1:254" s="34" customFormat="1" ht="30" x14ac:dyDescent="0.2">
      <c r="B21" s="35" t="s">
        <v>47</v>
      </c>
      <c r="C21" s="36">
        <v>1</v>
      </c>
      <c r="D21" s="37">
        <f>SUMPRODUCT($F$9:$T$9,F21:T21)</f>
        <v>30000</v>
      </c>
      <c r="E21" s="38">
        <f>D21*C21</f>
        <v>30000</v>
      </c>
      <c r="F21" s="39">
        <v>0</v>
      </c>
      <c r="G21" s="39">
        <v>0</v>
      </c>
      <c r="H21" s="39">
        <v>0</v>
      </c>
      <c r="I21" s="39">
        <v>0</v>
      </c>
      <c r="J21" s="39">
        <v>30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40">
        <v>0</v>
      </c>
      <c r="T21" s="39">
        <v>0</v>
      </c>
    </row>
    <row r="22" spans="1:254" s="34" customFormat="1" ht="15" x14ac:dyDescent="0.2">
      <c r="B22" s="35" t="s">
        <v>48</v>
      </c>
      <c r="C22" s="36">
        <v>1</v>
      </c>
      <c r="D22" s="37">
        <f>SUMPRODUCT($F$9:$T$9,F22:T22)</f>
        <v>30000</v>
      </c>
      <c r="E22" s="38">
        <f>D22*C22</f>
        <v>30000</v>
      </c>
      <c r="F22" s="39">
        <v>0</v>
      </c>
      <c r="G22" s="39">
        <v>0</v>
      </c>
      <c r="H22" s="39">
        <v>0</v>
      </c>
      <c r="I22" s="39">
        <v>0</v>
      </c>
      <c r="J22" s="39">
        <v>30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40">
        <v>0</v>
      </c>
      <c r="T22" s="39">
        <v>0</v>
      </c>
    </row>
    <row r="23" spans="1:254" s="34" customFormat="1" ht="30" x14ac:dyDescent="0.2">
      <c r="B23" s="35" t="s">
        <v>49</v>
      </c>
      <c r="C23" s="36">
        <v>1</v>
      </c>
      <c r="D23" s="37">
        <f>SUMPRODUCT($F$9:$T$9,F23:T23)</f>
        <v>20000</v>
      </c>
      <c r="E23" s="38">
        <f>D23*C23</f>
        <v>20000</v>
      </c>
      <c r="F23" s="39">
        <v>0</v>
      </c>
      <c r="G23" s="39">
        <v>0</v>
      </c>
      <c r="H23" s="39">
        <v>0</v>
      </c>
      <c r="I23" s="39">
        <v>0</v>
      </c>
      <c r="J23" s="39">
        <v>20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40">
        <v>0</v>
      </c>
      <c r="T23" s="39">
        <v>0</v>
      </c>
    </row>
    <row r="24" spans="1:254" s="20" customFormat="1" ht="17" customHeight="1" x14ac:dyDescent="0.2">
      <c r="A24" s="22"/>
      <c r="B24" s="28" t="s">
        <v>16</v>
      </c>
      <c r="C24" s="29"/>
      <c r="D24" s="30"/>
      <c r="E24" s="29"/>
      <c r="F24" s="3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2"/>
      <c r="U24" s="27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</row>
    <row r="25" spans="1:254" s="34" customFormat="1" ht="30" x14ac:dyDescent="0.2">
      <c r="B25" s="35" t="s">
        <v>50</v>
      </c>
      <c r="C25" s="36">
        <v>1</v>
      </c>
      <c r="D25" s="37">
        <f>SUMPRODUCT($F$9:$T$9,F25:T25)</f>
        <v>16000</v>
      </c>
      <c r="E25" s="38">
        <f>D25*C25</f>
        <v>16000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16</v>
      </c>
      <c r="P25" s="39">
        <v>0</v>
      </c>
      <c r="Q25" s="39">
        <v>0</v>
      </c>
      <c r="R25" s="39">
        <v>0</v>
      </c>
      <c r="S25" s="40">
        <v>0</v>
      </c>
      <c r="T25" s="39">
        <v>0</v>
      </c>
    </row>
    <row r="26" spans="1:254" s="34" customFormat="1" ht="15" x14ac:dyDescent="0.2">
      <c r="B26" s="35" t="s">
        <v>51</v>
      </c>
      <c r="C26" s="36">
        <v>1</v>
      </c>
      <c r="D26" s="37">
        <f>SUMPRODUCT($F$9:$T$9,F26:T26)</f>
        <v>8000</v>
      </c>
      <c r="E26" s="38">
        <f>D26*C26</f>
        <v>8000</v>
      </c>
      <c r="F26" s="39">
        <v>0</v>
      </c>
      <c r="G26" s="39">
        <v>0</v>
      </c>
      <c r="H26" s="39">
        <v>0</v>
      </c>
      <c r="I26" s="39">
        <v>0</v>
      </c>
      <c r="J26" s="39">
        <v>4</v>
      </c>
      <c r="K26" s="39">
        <v>0</v>
      </c>
      <c r="L26" s="39">
        <v>4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40">
        <v>0</v>
      </c>
      <c r="T26" s="39">
        <v>0</v>
      </c>
    </row>
    <row r="27" spans="1:254" s="34" customFormat="1" ht="15" x14ac:dyDescent="0.2">
      <c r="B27" s="35" t="s">
        <v>52</v>
      </c>
      <c r="C27" s="36">
        <v>1</v>
      </c>
      <c r="D27" s="37">
        <f>SUMPRODUCT($F$9:$T$9,F27:T27)</f>
        <v>12000</v>
      </c>
      <c r="E27" s="38">
        <f>D27*C27</f>
        <v>12000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12</v>
      </c>
      <c r="Q27" s="39">
        <v>0</v>
      </c>
      <c r="R27" s="39">
        <v>0</v>
      </c>
      <c r="S27" s="40">
        <v>0</v>
      </c>
      <c r="T27" s="39">
        <v>0</v>
      </c>
    </row>
    <row r="28" spans="1:254" s="20" customFormat="1" ht="17" customHeight="1" x14ac:dyDescent="0.2">
      <c r="A28" s="22"/>
      <c r="B28" s="28" t="s">
        <v>20</v>
      </c>
      <c r="C28" s="29"/>
      <c r="D28" s="30"/>
      <c r="E28" s="29"/>
      <c r="F28" s="3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2"/>
      <c r="U28" s="27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</row>
    <row r="29" spans="1:254" s="34" customFormat="1" ht="15" x14ac:dyDescent="0.2">
      <c r="B29" s="35" t="s">
        <v>54</v>
      </c>
      <c r="C29" s="36">
        <v>1</v>
      </c>
      <c r="D29" s="37">
        <f>SUMPRODUCT($F$9:$T$9,F29:T29)</f>
        <v>40000</v>
      </c>
      <c r="E29" s="38">
        <f>D29*C29</f>
        <v>40000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40</v>
      </c>
      <c r="S29" s="40">
        <v>0</v>
      </c>
      <c r="T29" s="39">
        <v>0</v>
      </c>
    </row>
    <row r="30" spans="1:254" s="34" customFormat="1" x14ac:dyDescent="0.2">
      <c r="B30" s="41"/>
      <c r="C30" s="42"/>
      <c r="D30" s="43"/>
      <c r="E30" s="44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</row>
    <row r="31" spans="1:254" s="5" customFormat="1" ht="20" x14ac:dyDescent="0.2">
      <c r="A31" s="46"/>
      <c r="B31" s="47" t="s">
        <v>9</v>
      </c>
      <c r="C31" s="48"/>
      <c r="D31" s="49"/>
      <c r="E31" s="50">
        <f>SUM(E12:E29)</f>
        <v>292000</v>
      </c>
      <c r="F31" s="51" t="s">
        <v>0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 s="5" customFormat="1" ht="20" x14ac:dyDescent="0.2">
      <c r="A32" s="53"/>
      <c r="B32" s="54" t="s">
        <v>1</v>
      </c>
      <c r="C32" s="55"/>
      <c r="D32" s="56"/>
      <c r="E32" s="50">
        <f>E31*1.2</f>
        <v>350400</v>
      </c>
      <c r="F32" s="51" t="s">
        <v>0</v>
      </c>
      <c r="G32" s="57"/>
      <c r="H32" s="57"/>
      <c r="I32" s="58"/>
      <c r="J32" s="52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2:8" ht="14" customHeight="1" x14ac:dyDescent="0.2">
      <c r="E33" s="59"/>
      <c r="G33" s="59"/>
      <c r="H33" s="59"/>
    </row>
    <row r="34" spans="2:8" ht="14" customHeight="1" x14ac:dyDescent="0.15">
      <c r="B34" s="60"/>
    </row>
    <row r="35" spans="2:8" ht="14" customHeight="1" x14ac:dyDescent="0.15">
      <c r="B35" s="60"/>
    </row>
    <row r="36" spans="2:8" ht="14" customHeight="1" x14ac:dyDescent="0.2">
      <c r="B36" s="61"/>
      <c r="E36" s="59"/>
    </row>
    <row r="37" spans="2:8" ht="14" customHeight="1" x14ac:dyDescent="0.2"/>
    <row r="38" spans="2:8" ht="14" customHeight="1" x14ac:dyDescent="0.2">
      <c r="E38" s="59"/>
      <c r="F38" s="59"/>
    </row>
    <row r="39" spans="2:8" ht="14" customHeight="1" x14ac:dyDescent="0.2">
      <c r="G39" s="59"/>
      <c r="H39" s="59"/>
    </row>
  </sheetData>
  <mergeCells count="3">
    <mergeCell ref="F2:G2"/>
    <mergeCell ref="F4:G4"/>
    <mergeCell ref="F5:G5"/>
  </mergeCells>
  <conditionalFormatting sqref="F29:S33 T29:T30">
    <cfRule type="cellIs" dxfId="10" priority="7" operator="greaterThan">
      <formula>0</formula>
    </cfRule>
  </conditionalFormatting>
  <conditionalFormatting sqref="F1:T65545">
    <cfRule type="cellIs" dxfId="9" priority="1" stopIfTrue="1" operator="greaterThan">
      <formula>0</formula>
    </cfRule>
    <cfRule type="cellIs" dxfId="8" priority="2" stopIfTrue="1" operator="equal">
      <formula>0</formula>
    </cfRule>
  </conditionalFormatting>
  <conditionalFormatting sqref="F12:T15">
    <cfRule type="cellIs" dxfId="7" priority="6" operator="greaterThan">
      <formula>0</formula>
    </cfRule>
  </conditionalFormatting>
  <conditionalFormatting sqref="F17:T23">
    <cfRule type="cellIs" dxfId="6" priority="4" operator="greaterThan">
      <formula>0</formula>
    </cfRule>
  </conditionalFormatting>
  <conditionalFormatting sqref="F25:T27">
    <cfRule type="cellIs" dxfId="5" priority="9" operator="greaterThan">
      <formula>0</formula>
    </cfRule>
  </conditionalFormatting>
  <conditionalFormatting sqref="T31:U33">
    <cfRule type="cellIs" dxfId="4" priority="12" operator="greaterThan">
      <formula>0</formula>
    </cfRule>
  </conditionalFormatting>
  <conditionalFormatting sqref="U11">
    <cfRule type="cellIs" dxfId="3" priority="11" operator="greaterThan">
      <formula>0</formula>
    </cfRule>
  </conditionalFormatting>
  <conditionalFormatting sqref="U16">
    <cfRule type="cellIs" dxfId="2" priority="5" operator="greaterThan">
      <formula>0</formula>
    </cfRule>
  </conditionalFormatting>
  <conditionalFormatting sqref="U24">
    <cfRule type="cellIs" dxfId="1" priority="10" operator="greaterThan">
      <formula>0</formula>
    </cfRule>
  </conditionalFormatting>
  <conditionalFormatting sqref="U28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Billing</vt:lpstr>
      <vt:lpstr>Пример (по контенту из проекта)</vt:lpstr>
    </vt:vector>
  </TitlesOfParts>
  <Company>Dalee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Beloshapka</dc:creator>
  <cp:lastModifiedBy>Microsoft Office User</cp:lastModifiedBy>
  <cp:lastPrinted>2021-04-01T09:52:16Z</cp:lastPrinted>
  <dcterms:created xsi:type="dcterms:W3CDTF">2012-04-02T13:28:00Z</dcterms:created>
  <dcterms:modified xsi:type="dcterms:W3CDTF">2025-08-16T17:00:39Z</dcterms:modified>
</cp:coreProperties>
</file>